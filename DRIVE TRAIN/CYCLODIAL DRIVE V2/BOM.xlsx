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3551c1177dd8/2. Projects/Cyclo141/"/>
    </mc:Choice>
  </mc:AlternateContent>
  <xr:revisionPtr revIDLastSave="17" documentId="8_{C39F470E-2906-4F07-8939-C0BF6807657D}" xr6:coauthVersionLast="47" xr6:coauthVersionMax="47" xr10:uidLastSave="{159BE302-5E94-4436-AD31-DD35DE19AFB3}"/>
  <bookViews>
    <workbookView xWindow="-110" yWindow="-110" windowWidth="25820" windowHeight="15500" xr2:uid="{101EBA78-7BC1-4391-8E4D-ADF39660B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2" i="1"/>
  <c r="G13" i="1" s="1"/>
  <c r="G3" i="1"/>
  <c r="G4" i="1"/>
  <c r="G5" i="1"/>
  <c r="G6" i="1"/>
  <c r="G7" i="1"/>
  <c r="G8" i="1"/>
  <c r="G9" i="1"/>
  <c r="G10" i="1"/>
  <c r="D2" i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<sst xmlns="http://schemas.openxmlformats.org/spreadsheetml/2006/main" count="38" uniqueCount="38">
  <si>
    <t>Total Price</t>
  </si>
  <si>
    <t>Part Name</t>
  </si>
  <si>
    <t>Cost</t>
  </si>
  <si>
    <t>per Unit</t>
  </si>
  <si>
    <t>Shaft End Bearing</t>
  </si>
  <si>
    <t>Description</t>
  </si>
  <si>
    <t>18x12x4 Bearing</t>
  </si>
  <si>
    <t>Link</t>
  </si>
  <si>
    <t>Shaft Bearing</t>
  </si>
  <si>
    <t>21x15x4 Bearing</t>
  </si>
  <si>
    <t xml:space="preserve">Disk Bearing </t>
  </si>
  <si>
    <t>17x9x5</t>
  </si>
  <si>
    <t>Output Bearing</t>
  </si>
  <si>
    <t>72x55x9</t>
  </si>
  <si>
    <t>M6xM4x24</t>
  </si>
  <si>
    <t>M6 Threaded Output Pin</t>
  </si>
  <si>
    <t>https://www.mcmaster.com/97355A302/</t>
  </si>
  <si>
    <t>https://www.amazon.com/uxcell-6702-2RS-Groove-Bearing-Bearings/dp/B0CNX3W3YB/ref=sr_1_11?sr=8-11</t>
  </si>
  <si>
    <t>https://www.amazon.com/XIKE-6701-2RS-Bearings-12x18x4mm-Pre-Lubricated/dp/B09D2RQ4Y1/ref=sr_1_2?sr=8-2</t>
  </si>
  <si>
    <t>https://www.amazon.com/uxcell-9x17x5mm-Miniature-Lubricated-Bearings/dp/B0D6W6Z113/ref=sr_1_3?sr=8-3</t>
  </si>
  <si>
    <t>https://www.amazon.com/uxcell-6811ZZ-Groove-Bearings-Shielded/dp/B082PW8F3S/ref=sr_1_3?sr=8-3</t>
  </si>
  <si>
    <t>Total:</t>
  </si>
  <si>
    <t xml:space="preserve">M4 x 6mm </t>
  </si>
  <si>
    <t>M4 Output Pin Screws</t>
  </si>
  <si>
    <t>https://www.amazon.com/BNUOK-120pcs-Socket-Threads-Spanner/dp/B0DYS5W46C/ref=sr_1_3?sr=8-3</t>
  </si>
  <si>
    <t>M3 Disk Screws</t>
  </si>
  <si>
    <t>M3 x 5mm</t>
  </si>
  <si>
    <t>https://www.amazon.com/BNUOK-180pcs-Socket-Threads-Spanner/dp/B0DJQGJGYT/ref=sr_1_2_sspa?sr=8-2-spons&amp;sp_csd=d2lkZ2V0TmFtZT1zcF9hdGY</t>
  </si>
  <si>
    <t>M3 Output Bearing Cover Screws</t>
  </si>
  <si>
    <t>M3 x 10mm</t>
  </si>
  <si>
    <t>https://a.co/d/bKohAkp</t>
  </si>
  <si>
    <t>M3 Hull Screws</t>
  </si>
  <si>
    <t>M3 x 50mm</t>
  </si>
  <si>
    <t>https://a.co/d/6JlE1u1</t>
  </si>
  <si>
    <t>Quantity needed per Gearbox</t>
  </si>
  <si>
    <t>Total Quantitiy needed</t>
  </si>
  <si>
    <t>Number of Gearboxes:</t>
  </si>
  <si>
    <t>Price per Gearbox: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</si>
</sst>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3">
    <dxf>
      <numFmt numFmtId="164" formatCode="[$$-409]#,##0.00"/>
    </dxf>
    <dxf>
      <numFmt numFmtId="0" formatCode="General"/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83FA1-88FD-4A03-87E6-0B472188DD2F}" name="Table1" displayName="Table1" ref="A1:H10" totalsRowShown="0">
  <autoFilter ref="A1:H10" xr:uid="{9E283FA1-88FD-4A03-87E6-0B472188DD2F}"/>
  <tableColumns count="8">
    <tableColumn id="1" xr3:uid="{8202AD4D-3C3E-4CBD-AD56-0C262C40BAB3}" name="Part Name"/>
    <tableColumn id="2" xr3:uid="{32B00042-85BA-4F0D-847B-A532D4A6F119}" name="Description"/>
    <tableColumn id="3" xr3:uid="{A91420B3-7FEC-4989-932C-9C7AB4B48270}" name="Quantity needed per Gearbox"/>
    <tableColumn id="9" xr3:uid="{C8C2FCE2-86E8-46B3-A6FC-50ADCEE03DF0}" name="Total Quantitiy needed" dataDxfId="1">
      <calculatedColumnFormula>$B$13*Table1[[#This Row],[Quantity needed per Gearbox]]</calculatedColumnFormula>
    </tableColumn>
    <tableColumn id="4" xr3:uid="{9F4F13F3-C4D2-4BEF-A2DB-98ACE1940386}" name="Cost" dataDxfId="2"/>
    <tableColumn id="5" xr3:uid="{9C24A899-07A3-4389-88BD-C27F4A42C60E}" name="per Unit"/>
    <tableColumn id="6" xr3:uid="{92DC111E-10B3-47F0-9D1E-31223DE9D05E}" name="Total Price" dataDxfId="0">
      <calculatedColumnFormula>ROUNDUP(D2/F2,0)*E2</calculatedColumnFormula>
    </tableColumn>
    <tableColumn id="7" xr3:uid="{44378871-D7DB-4252-B043-0E0AA49D4443}" name="Link" dataCellStyle="Hyperlin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bKohAkp" TargetMode="External"/><Relationship Id="rId3" Type="http://schemas.openxmlformats.org/officeDocument/2006/relationships/hyperlink" Target="https://www.amazon.com/XIKE-6701-2RS-Bearings-12x18x4mm-Pre-Lubricated/dp/B09D2RQ4Y1/ref=sr_1_2?sr=8-2" TargetMode="External"/><Relationship Id="rId7" Type="http://schemas.openxmlformats.org/officeDocument/2006/relationships/hyperlink" Target="https://www.amazon.com/BNUOK-180pcs-Socket-Threads-Spanner/dp/B0DJQGJGYT/ref=sr_1_2_sspa?sr=8-2-spons&amp;sp_csd=d2lkZ2V0TmFtZT1zcF9hdGY" TargetMode="External"/><Relationship Id="rId2" Type="http://schemas.openxmlformats.org/officeDocument/2006/relationships/hyperlink" Target="https://www.amazon.com/uxcell-6702-2RS-Groove-Bearing-Bearings/dp/B0CNX3W3YB/ref=sr_1_11?sr=8-11" TargetMode="External"/><Relationship Id="rId1" Type="http://schemas.openxmlformats.org/officeDocument/2006/relationships/hyperlink" Target="https://www.mcmaster.com/97355A302/" TargetMode="External"/><Relationship Id="rId6" Type="http://schemas.openxmlformats.org/officeDocument/2006/relationships/hyperlink" Target="https://www.amazon.com/BNUOK-120pcs-Socket-Threads-Spanner/dp/B0DYS5W46C/ref=sr_1_3?sr=8-3" TargetMode="External"/><Relationship Id="rId5" Type="http://schemas.openxmlformats.org/officeDocument/2006/relationships/hyperlink" Target="https://www.amazon.com/uxcell-6811ZZ-Groove-Bearings-Shielded/dp/B082PW8F3S/ref=sr_1_3?sr=8-3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amazon.com/uxcell-9x17x5mm-Miniature-Lubricated-Bearings/dp/B0D6W6Z113/ref=sr_1_3?sr=8-3" TargetMode="External"/><Relationship Id="rId9" Type="http://schemas.openxmlformats.org/officeDocument/2006/relationships/hyperlink" Target="https://a.co/d/6JlE1u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E79C-6889-40DC-BE44-CBF7F83EEC64}">
  <dimension ref="A1:H14"/>
  <sheetViews>
    <sheetView tabSelected="1" workbookViewId="0">
      <selection activeCell="D23" sqref="D23"/>
    </sheetView>
  </sheetViews>
  <sheetFormatPr defaultRowHeight="14.5" x14ac:dyDescent="0.35"/>
  <cols>
    <col min="1" max="2" width="28.7265625" customWidth="1"/>
    <col min="3" max="3" width="16.6328125" customWidth="1"/>
    <col min="4" max="4" width="24.81640625" customWidth="1"/>
    <col min="5" max="5" width="19.1796875" style="2" customWidth="1"/>
    <col min="6" max="6" width="19.1796875" customWidth="1"/>
    <col min="7" max="7" width="17.54296875" style="2" customWidth="1"/>
    <col min="8" max="8" width="137.36328125" customWidth="1"/>
  </cols>
  <sheetData>
    <row r="1" spans="1:8" x14ac:dyDescent="0.35">
      <c r="A1" t="s">
        <v>1</v>
      </c>
      <c r="B1" t="s">
        <v>5</v>
      </c>
      <c r="C1" t="s">
        <v>34</v>
      </c>
      <c r="D1" t="s">
        <v>35</v>
      </c>
      <c r="E1" t="s">
        <v>2</v>
      </c>
      <c r="F1" t="s">
        <v>3</v>
      </c>
      <c r="G1" t="s">
        <v>0</v>
      </c>
      <c r="H1" t="s">
        <v>7</v>
      </c>
    </row>
    <row r="2" spans="1:8" x14ac:dyDescent="0.35">
      <c r="A2" t="s">
        <v>4</v>
      </c>
      <c r="B2" t="s">
        <v>6</v>
      </c>
      <c r="C2">
        <v>2</v>
      </c>
      <c r="D2">
        <f>$B$13*Table1[[#This Row],[Quantity needed per Gearbox]]</f>
        <v>24</v>
      </c>
      <c r="E2" s="2">
        <v>9.99</v>
      </c>
      <c r="F2">
        <v>10</v>
      </c>
      <c r="G2" s="2">
        <f t="shared" ref="G2:G10" si="0">ROUNDUP(D2/F2,0)*E2</f>
        <v>29.97</v>
      </c>
      <c r="H2" s="1" t="s">
        <v>18</v>
      </c>
    </row>
    <row r="3" spans="1:8" x14ac:dyDescent="0.35">
      <c r="A3" t="s">
        <v>8</v>
      </c>
      <c r="B3" t="s">
        <v>9</v>
      </c>
      <c r="C3">
        <v>2</v>
      </c>
      <c r="D3">
        <f>$B$13*Table1[[#This Row],[Quantity needed per Gearbox]]</f>
        <v>24</v>
      </c>
      <c r="E3" s="2">
        <v>8.49</v>
      </c>
      <c r="F3">
        <v>4</v>
      </c>
      <c r="G3" s="2">
        <f t="shared" si="0"/>
        <v>50.94</v>
      </c>
      <c r="H3" s="1" t="s">
        <v>17</v>
      </c>
    </row>
    <row r="4" spans="1:8" x14ac:dyDescent="0.35">
      <c r="A4" t="s">
        <v>10</v>
      </c>
      <c r="B4" t="s">
        <v>11</v>
      </c>
      <c r="C4">
        <v>12</v>
      </c>
      <c r="D4">
        <f>$B$13*Table1[[#This Row],[Quantity needed per Gearbox]]</f>
        <v>144</v>
      </c>
      <c r="E4" s="2">
        <v>9.99</v>
      </c>
      <c r="F4">
        <v>10</v>
      </c>
      <c r="G4" s="2">
        <f t="shared" si="0"/>
        <v>149.85</v>
      </c>
      <c r="H4" s="1" t="s">
        <v>19</v>
      </c>
    </row>
    <row r="5" spans="1:8" x14ac:dyDescent="0.35">
      <c r="A5" t="s">
        <v>12</v>
      </c>
      <c r="B5" t="s">
        <v>13</v>
      </c>
      <c r="C5">
        <v>1</v>
      </c>
      <c r="D5">
        <f>$B$13*Table1[[#This Row],[Quantity needed per Gearbox]]</f>
        <v>12</v>
      </c>
      <c r="E5" s="2">
        <v>9.99</v>
      </c>
      <c r="F5">
        <v>2</v>
      </c>
      <c r="G5" s="2">
        <f t="shared" si="0"/>
        <v>59.94</v>
      </c>
      <c r="H5" s="1" t="s">
        <v>20</v>
      </c>
    </row>
    <row r="6" spans="1:8" x14ac:dyDescent="0.35">
      <c r="A6" t="s">
        <v>15</v>
      </c>
      <c r="B6" t="s">
        <v>14</v>
      </c>
      <c r="C6">
        <v>6</v>
      </c>
      <c r="D6">
        <f>$B$13*Table1[[#This Row],[Quantity needed per Gearbox]]</f>
        <v>72</v>
      </c>
      <c r="E6" s="2">
        <v>2.35</v>
      </c>
      <c r="F6">
        <v>1</v>
      </c>
      <c r="G6" s="2">
        <f t="shared" si="0"/>
        <v>169.20000000000002</v>
      </c>
      <c r="H6" s="1" t="s">
        <v>16</v>
      </c>
    </row>
    <row r="7" spans="1:8" x14ac:dyDescent="0.35">
      <c r="A7" t="s">
        <v>23</v>
      </c>
      <c r="B7" t="s">
        <v>22</v>
      </c>
      <c r="C7">
        <v>6</v>
      </c>
      <c r="D7">
        <f>$B$13*Table1[[#This Row],[Quantity needed per Gearbox]]</f>
        <v>72</v>
      </c>
      <c r="E7" s="2">
        <v>7.19</v>
      </c>
      <c r="F7">
        <v>120</v>
      </c>
      <c r="G7" s="2">
        <f t="shared" si="0"/>
        <v>7.19</v>
      </c>
      <c r="H7" s="1" t="s">
        <v>24</v>
      </c>
    </row>
    <row r="8" spans="1:8" x14ac:dyDescent="0.35">
      <c r="A8" t="s">
        <v>25</v>
      </c>
      <c r="B8" t="s">
        <v>26</v>
      </c>
      <c r="C8">
        <v>12</v>
      </c>
      <c r="D8">
        <f>$B$13*Table1[[#This Row],[Quantity needed per Gearbox]]</f>
        <v>144</v>
      </c>
      <c r="E8" s="2">
        <v>7.99</v>
      </c>
      <c r="F8">
        <v>180</v>
      </c>
      <c r="G8" s="2">
        <f t="shared" si="0"/>
        <v>7.99</v>
      </c>
      <c r="H8" s="1" t="s">
        <v>27</v>
      </c>
    </row>
    <row r="9" spans="1:8" x14ac:dyDescent="0.35">
      <c r="A9" t="s">
        <v>28</v>
      </c>
      <c r="B9" t="s">
        <v>29</v>
      </c>
      <c r="C9">
        <v>6</v>
      </c>
      <c r="D9">
        <f>$B$13*Table1[[#This Row],[Quantity needed per Gearbox]]</f>
        <v>72</v>
      </c>
      <c r="E9" s="2">
        <v>7.64</v>
      </c>
      <c r="F9">
        <v>180</v>
      </c>
      <c r="G9" s="2">
        <f t="shared" si="0"/>
        <v>7.64</v>
      </c>
      <c r="H9" s="1" t="s">
        <v>30</v>
      </c>
    </row>
    <row r="10" spans="1:8" x14ac:dyDescent="0.35">
      <c r="A10" t="s">
        <v>31</v>
      </c>
      <c r="B10" t="s">
        <v>32</v>
      </c>
      <c r="C10">
        <v>5</v>
      </c>
      <c r="D10">
        <f>$B$13*Table1[[#This Row],[Quantity needed per Gearbox]]</f>
        <v>60</v>
      </c>
      <c r="E10" s="2">
        <v>8.99</v>
      </c>
      <c r="F10">
        <v>120</v>
      </c>
      <c r="G10" s="2">
        <f t="shared" si="0"/>
        <v>8.99</v>
      </c>
      <c r="H10" s="1" t="s">
        <v>33</v>
      </c>
    </row>
    <row r="13" spans="1:8" x14ac:dyDescent="0.35">
      <c r="A13" t="s">
        <v>36</v>
      </c>
      <c r="B13">
        <v>12</v>
      </c>
      <c r="F13" t="s">
        <v>21</v>
      </c>
      <c r="G13" s="2">
        <f>SUM(G2:G10)</f>
        <v>491.71</v>
      </c>
    </row>
    <row r="14" spans="1:8" x14ac:dyDescent="0.35">
      <c r="F14" t="s">
        <v>37</v>
      </c>
      <c r="G14" s="2">
        <f>G13/12</f>
        <v>40.975833333333334</v>
      </c>
    </row>
  </sheetData>
  <hyperlinks>
    <hyperlink ref="H6" r:id="rId1" xr:uid="{59FFECDD-C975-4BEF-82DE-43514B4C3FEB}"/>
    <hyperlink ref="H3" r:id="rId2" xr:uid="{B19230EF-D259-408F-B597-098C86D9E268}"/>
    <hyperlink ref="H2" r:id="rId3" xr:uid="{46B4DD3C-4FAA-4772-A61B-18649F63D0CF}"/>
    <hyperlink ref="H4" r:id="rId4" xr:uid="{167ED9C7-9D31-47EB-81D6-AE26CF87888D}"/>
    <hyperlink ref="H5" r:id="rId5" xr:uid="{06ACFC81-BACF-4AC4-843E-3D14A2FED212}"/>
    <hyperlink ref="H7" r:id="rId6" xr:uid="{A88EB99D-C082-47A0-AAB2-7A49125A6575}"/>
    <hyperlink ref="H8" r:id="rId7" xr:uid="{41DC1AB0-A3AE-4B56-98CA-81E9079CFA98}"/>
    <hyperlink ref="H9" r:id="rId8" xr:uid="{48DE31B3-E957-4A35-9317-A264531DDA80}"/>
    <hyperlink ref="H10" r:id="rId9" xr:uid="{D597CA7E-D9C1-4648-AB7D-1402D60A6F06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Minor</dc:creator>
  <cp:lastModifiedBy>Alexander Minor</cp:lastModifiedBy>
  <dcterms:created xsi:type="dcterms:W3CDTF">2025-10-06T13:04:17Z</dcterms:created>
  <dcterms:modified xsi:type="dcterms:W3CDTF">2025-10-06T19:49:38Z</dcterms:modified>
</cp:coreProperties>
</file>